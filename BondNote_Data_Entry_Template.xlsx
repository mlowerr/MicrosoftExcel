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Dropbox\Personal Finance &amp; Planning\"/>
    </mc:Choice>
  </mc:AlternateContent>
  <xr:revisionPtr revIDLastSave="0" documentId="8_{36612C65-5134-46E4-971F-56ECCD885747}" xr6:coauthVersionLast="47" xr6:coauthVersionMax="47" xr10:uidLastSave="{00000000-0000-0000-0000-000000000000}"/>
  <bookViews>
    <workbookView xWindow="28680" yWindow="-120" windowWidth="29040" windowHeight="15720" xr2:uid="{CE44628C-D425-4A13-A675-D24258E157A5}"/>
  </bookViews>
  <sheets>
    <sheet name="30 Year" sheetId="1" r:id="rId1"/>
    <sheet name="20 Year" sheetId="2" r:id="rId2"/>
    <sheet name="10 Y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 a="1"/>
  <c r="H7" i="3"/>
  <c r="H6" i="3"/>
  <c r="H5" i="3"/>
  <c r="H4" i="3"/>
  <c r="N4" i="3" s="1"/>
  <c r="H3" i="3"/>
  <c r="I8" i="3"/>
  <c r="N7" i="3"/>
  <c r="N6" i="3"/>
  <c r="C6" i="3"/>
  <c r="C8" i="3" s="1"/>
  <c r="C10" i="3" s="1"/>
  <c r="C12" i="3" s="1"/>
  <c r="C14" i="3" s="1"/>
  <c r="C16" i="3" s="1"/>
  <c r="C18" i="3" s="1"/>
  <c r="C20" i="3" s="1"/>
  <c r="C22" i="3" s="1"/>
  <c r="N5" i="3"/>
  <c r="C5" i="3"/>
  <c r="C7" i="3" s="1"/>
  <c r="C9" i="3" s="1"/>
  <c r="C11" i="3" s="1"/>
  <c r="C13" i="3" s="1"/>
  <c r="C15" i="3" s="1"/>
  <c r="C17" i="3" s="1"/>
  <c r="C19" i="3" s="1"/>
  <c r="C21" i="3" s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H7" i="2"/>
  <c r="H6" i="2"/>
  <c r="H5" i="2"/>
  <c r="N5" i="2" s="1"/>
  <c r="H4" i="2"/>
  <c r="N4" i="2" s="1"/>
  <c r="H3" i="2"/>
  <c r="B3" i="2" a="1"/>
  <c r="I8" i="2"/>
  <c r="N7" i="2"/>
  <c r="N6" i="2"/>
  <c r="C6" i="2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C32" i="2" s="1"/>
  <c r="C34" i="2" s="1"/>
  <c r="C36" i="2" s="1"/>
  <c r="C38" i="2" s="1"/>
  <c r="C40" i="2" s="1"/>
  <c r="C42" i="2" s="1"/>
  <c r="C5" i="2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  <c r="C33" i="2" s="1"/>
  <c r="C35" i="2" s="1"/>
  <c r="C37" i="2" s="1"/>
  <c r="C39" i="2" s="1"/>
  <c r="C41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I8" i="1"/>
  <c r="H8" i="1"/>
  <c r="N7" i="1"/>
  <c r="N6" i="1"/>
  <c r="N5" i="1"/>
  <c r="N4" i="1"/>
  <c r="H7" i="1"/>
  <c r="H6" i="1"/>
  <c r="H5" i="1"/>
  <c r="H4" i="1"/>
  <c r="H3" i="1"/>
  <c r="N3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B3" i="1" a="1"/>
  <c r="C6" i="1"/>
  <c r="C8" i="1" s="1"/>
  <c r="C10" i="1" s="1"/>
  <c r="C12" i="1" s="1"/>
  <c r="C14" i="1" s="1"/>
  <c r="C16" i="1" s="1"/>
  <c r="C18" i="1" s="1"/>
  <c r="C20" i="1" s="1"/>
  <c r="C22" i="1" s="1"/>
  <c r="C24" i="1" s="1"/>
  <c r="C26" i="1" s="1"/>
  <c r="C28" i="1" s="1"/>
  <c r="C30" i="1" s="1"/>
  <c r="C32" i="1" s="1"/>
  <c r="C34" i="1" s="1"/>
  <c r="C36" i="1" s="1"/>
  <c r="C38" i="1" s="1"/>
  <c r="C40" i="1" s="1"/>
  <c r="C42" i="1" s="1"/>
  <c r="C44" i="1" s="1"/>
  <c r="C46" i="1" s="1"/>
  <c r="C48" i="1" s="1"/>
  <c r="C50" i="1" s="1"/>
  <c r="C52" i="1" s="1"/>
  <c r="C54" i="1" s="1"/>
  <c r="C56" i="1" s="1"/>
  <c r="C58" i="1" s="1"/>
  <c r="C60" i="1" s="1"/>
  <c r="C62" i="1" s="1"/>
  <c r="C5" i="1"/>
  <c r="C7" i="1" s="1"/>
  <c r="C9" i="1" s="1"/>
  <c r="C11" i="1" s="1"/>
  <c r="C13" i="1" s="1"/>
  <c r="C15" i="1" s="1"/>
  <c r="C17" i="1" s="1"/>
  <c r="C19" i="1" s="1"/>
  <c r="C21" i="1" s="1"/>
  <c r="C23" i="1" s="1"/>
  <c r="C25" i="1" s="1"/>
  <c r="C27" i="1" s="1"/>
  <c r="C29" i="1" s="1"/>
  <c r="C31" i="1" s="1"/>
  <c r="C33" i="1" s="1"/>
  <c r="C35" i="1" s="1"/>
  <c r="C37" i="1" s="1"/>
  <c r="C39" i="1" s="1"/>
  <c r="C41" i="1" s="1"/>
  <c r="C43" i="1" s="1"/>
  <c r="C45" i="1" s="1"/>
  <c r="C47" i="1" s="1"/>
  <c r="C49" i="1" s="1"/>
  <c r="C51" i="1" s="1"/>
  <c r="C53" i="1" s="1"/>
  <c r="C55" i="1" s="1"/>
  <c r="C57" i="1" s="1"/>
  <c r="C59" i="1" s="1"/>
  <c r="C61" i="1" s="1"/>
  <c r="N3" i="3" l="1"/>
  <c r="H8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H8" i="2"/>
  <c r="N3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<sst xmlns="http://schemas.openxmlformats.org/spreadsheetml/2006/main" count="48" uniqueCount="18">
  <si>
    <t>30 Year Bond Logger</t>
  </si>
  <si>
    <t>Bonds</t>
  </si>
  <si>
    <t>Month</t>
  </si>
  <si>
    <t>Day</t>
  </si>
  <si>
    <t>Year</t>
  </si>
  <si>
    <t>M1</t>
  </si>
  <si>
    <t>M2</t>
  </si>
  <si>
    <t>Coupon #</t>
  </si>
  <si>
    <t>Coupon Amt</t>
  </si>
  <si>
    <t>Confirm #</t>
  </si>
  <si>
    <t>Issue Date</t>
  </si>
  <si>
    <t>Security Type</t>
  </si>
  <si>
    <t>Amount</t>
  </si>
  <si>
    <t>Total Coupons</t>
  </si>
  <si>
    <t>xReturn</t>
  </si>
  <si>
    <t>20 Year Bond Logger</t>
  </si>
  <si>
    <t>30 Year Notes Logger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</si>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</sst>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2" fillId="0" borderId="0" xfId="0" applyFont="1" applyAlignment="1">
      <alignment horizontal="center" vertical="center" wrapText="1"/>
    </xf>
    <xf numFmtId="164" fontId="0" fillId="2" borderId="0" xfId="0" applyNumberFormat="1" applyFill="1" applyAlignment="1">
      <alignment vertical="center" wrapText="1"/>
    </xf>
    <xf numFmtId="2" fontId="0" fillId="3" borderId="0" xfId="1" applyNumberFormat="1" applyFont="1" applyFill="1"/>
    <xf numFmtId="0" fontId="0" fillId="4" borderId="0" xfId="0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8" fontId="0" fillId="4" borderId="0" xfId="0" applyNumberFormat="1" applyFill="1" applyAlignment="1">
      <alignment vertical="center" wrapText="1"/>
    </xf>
    <xf numFmtId="164" fontId="0" fillId="3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0B4E-9C0D-4070-A000-DA9F80D7DF9A}">
  <dimension ref="A1:N63"/>
  <sheetViews>
    <sheetView tabSelected="1" workbookViewId="0">
      <pane ySplit="2" topLeftCell="A3" activePane="bottomLeft" state="frozen"/>
      <selection pane="bottomLeft" activeCell="J3" sqref="J3:M7"/>
    </sheetView>
  </sheetViews>
  <sheetFormatPr defaultRowHeight="15" x14ac:dyDescent="0.25"/>
  <cols>
    <col min="1" max="1" width="1.7109375" customWidth="1"/>
    <col min="3" max="3" width="6.7109375" bestFit="1" customWidth="1"/>
    <col min="4" max="4" width="4.42578125" bestFit="1" customWidth="1"/>
    <col min="6" max="6" width="12.140625" bestFit="1" customWidth="1"/>
    <col min="8" max="8" width="14.140625" bestFit="1" customWidth="1"/>
    <col min="9" max="9" width="12.140625" bestFit="1" customWidth="1"/>
    <col min="10" max="10" width="9.85546875" bestFit="1" customWidth="1"/>
    <col min="11" max="11" width="10.5703125" bestFit="1" customWidth="1"/>
    <col min="12" max="12" width="13.28515625" bestFit="1" customWidth="1"/>
    <col min="13" max="13" width="9.5703125" bestFit="1" customWidth="1"/>
    <col min="14" max="14" width="9.140625" customWidth="1"/>
    <col min="15" max="15" width="59.8554687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</row>
    <row r="2" spans="1:14" x14ac:dyDescent="0.25">
      <c r="B2" s="1" t="s">
        <v>7</v>
      </c>
      <c r="C2" s="1" t="s">
        <v>2</v>
      </c>
      <c r="D2" s="1" t="s">
        <v>3</v>
      </c>
      <c r="E2" s="1" t="s">
        <v>4</v>
      </c>
      <c r="F2" s="1" t="s">
        <v>8</v>
      </c>
      <c r="G2" s="1"/>
      <c r="H2" s="7" t="s">
        <v>13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14</v>
      </c>
    </row>
    <row r="3" spans="1:14" x14ac:dyDescent="0.25">
      <c r="B3" s="5" cm="1">
        <f t="array" ref="B3:B62">_xlfn.SEQUENCE(60,1,1,1)</f>
        <v>1</v>
      </c>
      <c r="C3" t="s">
        <v>5</v>
      </c>
      <c r="D3" s="3"/>
      <c r="E3" s="3">
        <v>2027</v>
      </c>
      <c r="F3" s="4">
        <v>0</v>
      </c>
      <c r="H3" s="6">
        <f>I3*60</f>
        <v>0</v>
      </c>
      <c r="I3" s="8">
        <v>0</v>
      </c>
      <c r="J3" s="10"/>
      <c r="K3" s="11"/>
      <c r="L3" s="10"/>
      <c r="M3" s="12"/>
      <c r="N3" s="9" t="e">
        <f>H3/M3</f>
        <v>#DIV/0!</v>
      </c>
    </row>
    <row r="4" spans="1:14" x14ac:dyDescent="0.25">
      <c r="B4" s="5">
        <v>2</v>
      </c>
      <c r="C4" s="5" t="s">
        <v>6</v>
      </c>
      <c r="D4" s="5">
        <f>D3</f>
        <v>0</v>
      </c>
      <c r="E4" s="5">
        <f>IF(ISEVEN(B4),E3,E3+1)</f>
        <v>2027</v>
      </c>
      <c r="F4" s="6">
        <f>F3</f>
        <v>0</v>
      </c>
      <c r="H4" s="6">
        <f t="shared" ref="H4:H8" si="0">I4*60</f>
        <v>0</v>
      </c>
      <c r="I4" s="8">
        <v>0</v>
      </c>
      <c r="J4" s="10"/>
      <c r="K4" s="11"/>
      <c r="L4" s="10"/>
      <c r="M4" s="12"/>
      <c r="N4" s="9" t="e">
        <f t="shared" ref="N4:N7" si="1">H4/M4</f>
        <v>#DIV/0!</v>
      </c>
    </row>
    <row r="5" spans="1:14" x14ac:dyDescent="0.25">
      <c r="B5" s="5">
        <v>3</v>
      </c>
      <c r="C5" s="5" t="str">
        <f>C3</f>
        <v>M1</v>
      </c>
      <c r="D5" s="5">
        <f t="shared" ref="D5:F62" si="2">D4</f>
        <v>0</v>
      </c>
      <c r="E5" s="5">
        <f t="shared" ref="E5:E62" si="3">IF(ISEVEN(B5),E4,E4+1)</f>
        <v>2028</v>
      </c>
      <c r="F5" s="6">
        <f t="shared" si="2"/>
        <v>0</v>
      </c>
      <c r="H5" s="6">
        <f t="shared" si="0"/>
        <v>0</v>
      </c>
      <c r="I5" s="8">
        <v>0</v>
      </c>
      <c r="J5" s="10"/>
      <c r="K5" s="11"/>
      <c r="L5" s="10"/>
      <c r="M5" s="12"/>
      <c r="N5" s="9" t="e">
        <f t="shared" si="1"/>
        <v>#DIV/0!</v>
      </c>
    </row>
    <row r="6" spans="1:14" x14ac:dyDescent="0.25">
      <c r="B6" s="5">
        <v>4</v>
      </c>
      <c r="C6" s="5" t="str">
        <f t="shared" ref="C6:C62" si="4">C4</f>
        <v>M2</v>
      </c>
      <c r="D6" s="5">
        <f t="shared" si="2"/>
        <v>0</v>
      </c>
      <c r="E6" s="5">
        <f t="shared" si="3"/>
        <v>2028</v>
      </c>
      <c r="F6" s="6">
        <f t="shared" si="2"/>
        <v>0</v>
      </c>
      <c r="H6" s="6">
        <f t="shared" si="0"/>
        <v>0</v>
      </c>
      <c r="I6" s="8">
        <v>0</v>
      </c>
      <c r="J6" s="10"/>
      <c r="K6" s="11"/>
      <c r="L6" s="10"/>
      <c r="M6" s="12"/>
      <c r="N6" s="9" t="e">
        <f t="shared" si="1"/>
        <v>#DIV/0!</v>
      </c>
    </row>
    <row r="7" spans="1:14" x14ac:dyDescent="0.25">
      <c r="B7" s="5">
        <v>5</v>
      </c>
      <c r="C7" s="5" t="str">
        <f t="shared" si="4"/>
        <v>M1</v>
      </c>
      <c r="D7" s="5">
        <f t="shared" si="2"/>
        <v>0</v>
      </c>
      <c r="E7" s="5">
        <f t="shared" si="3"/>
        <v>2029</v>
      </c>
      <c r="F7" s="6">
        <f t="shared" si="2"/>
        <v>0</v>
      </c>
      <c r="H7" s="6">
        <f t="shared" si="0"/>
        <v>0</v>
      </c>
      <c r="I7" s="8">
        <v>0</v>
      </c>
      <c r="J7" s="10"/>
      <c r="K7" s="11"/>
      <c r="L7" s="10"/>
      <c r="M7" s="12"/>
      <c r="N7" s="9" t="e">
        <f t="shared" si="1"/>
        <v>#DIV/0!</v>
      </c>
    </row>
    <row r="8" spans="1:14" ht="15.75" thickBot="1" x14ac:dyDescent="0.3">
      <c r="B8" s="5">
        <v>6</v>
      </c>
      <c r="C8" s="5" t="str">
        <f t="shared" si="4"/>
        <v>M2</v>
      </c>
      <c r="D8" s="5">
        <f t="shared" si="2"/>
        <v>0</v>
      </c>
      <c r="E8" s="5">
        <f t="shared" si="3"/>
        <v>2029</v>
      </c>
      <c r="F8" s="6">
        <f t="shared" si="2"/>
        <v>0</v>
      </c>
      <c r="H8" s="13">
        <f>SUM(H3:H7)</f>
        <v>0</v>
      </c>
      <c r="I8" s="13">
        <f>SUM(I3:I7)</f>
        <v>0</v>
      </c>
    </row>
    <row r="9" spans="1:14" ht="15.75" thickTop="1" x14ac:dyDescent="0.25">
      <c r="B9" s="5">
        <v>7</v>
      </c>
      <c r="C9" s="5" t="str">
        <f t="shared" si="4"/>
        <v>M1</v>
      </c>
      <c r="D9" s="5">
        <f t="shared" si="2"/>
        <v>0</v>
      </c>
      <c r="E9" s="5">
        <f t="shared" si="3"/>
        <v>2030</v>
      </c>
      <c r="F9" s="6">
        <f t="shared" si="2"/>
        <v>0</v>
      </c>
    </row>
    <row r="10" spans="1:14" x14ac:dyDescent="0.25">
      <c r="B10" s="5">
        <v>8</v>
      </c>
      <c r="C10" s="5" t="str">
        <f t="shared" si="4"/>
        <v>M2</v>
      </c>
      <c r="D10" s="5">
        <f t="shared" si="2"/>
        <v>0</v>
      </c>
      <c r="E10" s="5">
        <f t="shared" si="3"/>
        <v>2030</v>
      </c>
      <c r="F10" s="6">
        <f t="shared" si="2"/>
        <v>0</v>
      </c>
    </row>
    <row r="11" spans="1:14" x14ac:dyDescent="0.25">
      <c r="B11" s="5">
        <v>9</v>
      </c>
      <c r="C11" s="5" t="str">
        <f t="shared" si="4"/>
        <v>M1</v>
      </c>
      <c r="D11" s="5">
        <f t="shared" si="2"/>
        <v>0</v>
      </c>
      <c r="E11" s="5">
        <f t="shared" si="3"/>
        <v>2031</v>
      </c>
      <c r="F11" s="6">
        <f t="shared" si="2"/>
        <v>0</v>
      </c>
    </row>
    <row r="12" spans="1:14" x14ac:dyDescent="0.25">
      <c r="B12" s="5">
        <v>10</v>
      </c>
      <c r="C12" s="5" t="str">
        <f t="shared" si="4"/>
        <v>M2</v>
      </c>
      <c r="D12" s="5">
        <f t="shared" si="2"/>
        <v>0</v>
      </c>
      <c r="E12" s="5">
        <f t="shared" si="3"/>
        <v>2031</v>
      </c>
      <c r="F12" s="6">
        <f t="shared" si="2"/>
        <v>0</v>
      </c>
    </row>
    <row r="13" spans="1:14" x14ac:dyDescent="0.25">
      <c r="B13" s="5">
        <v>11</v>
      </c>
      <c r="C13" s="5" t="str">
        <f t="shared" si="4"/>
        <v>M1</v>
      </c>
      <c r="D13" s="5">
        <f t="shared" si="2"/>
        <v>0</v>
      </c>
      <c r="E13" s="5">
        <f t="shared" si="3"/>
        <v>2032</v>
      </c>
      <c r="F13" s="6">
        <f t="shared" si="2"/>
        <v>0</v>
      </c>
    </row>
    <row r="14" spans="1:14" x14ac:dyDescent="0.25">
      <c r="B14" s="5">
        <v>12</v>
      </c>
      <c r="C14" s="5" t="str">
        <f t="shared" si="4"/>
        <v>M2</v>
      </c>
      <c r="D14" s="5">
        <f t="shared" si="2"/>
        <v>0</v>
      </c>
      <c r="E14" s="5">
        <f t="shared" si="3"/>
        <v>2032</v>
      </c>
      <c r="F14" s="6">
        <f t="shared" si="2"/>
        <v>0</v>
      </c>
    </row>
    <row r="15" spans="1:14" x14ac:dyDescent="0.25">
      <c r="B15" s="5">
        <v>13</v>
      </c>
      <c r="C15" s="5" t="str">
        <f t="shared" si="4"/>
        <v>M1</v>
      </c>
      <c r="D15" s="5">
        <f t="shared" si="2"/>
        <v>0</v>
      </c>
      <c r="E15" s="5">
        <f t="shared" si="3"/>
        <v>2033</v>
      </c>
      <c r="F15" s="6">
        <f t="shared" si="2"/>
        <v>0</v>
      </c>
    </row>
    <row r="16" spans="1:14" x14ac:dyDescent="0.25">
      <c r="B16" s="5">
        <v>14</v>
      </c>
      <c r="C16" s="5" t="str">
        <f t="shared" si="4"/>
        <v>M2</v>
      </c>
      <c r="D16" s="5">
        <f t="shared" si="2"/>
        <v>0</v>
      </c>
      <c r="E16" s="5">
        <f t="shared" si="3"/>
        <v>2033</v>
      </c>
      <c r="F16" s="6">
        <f t="shared" si="2"/>
        <v>0</v>
      </c>
    </row>
    <row r="17" spans="2:6" x14ac:dyDescent="0.25">
      <c r="B17" s="5">
        <v>15</v>
      </c>
      <c r="C17" s="5" t="str">
        <f t="shared" si="4"/>
        <v>M1</v>
      </c>
      <c r="D17" s="5">
        <f t="shared" si="2"/>
        <v>0</v>
      </c>
      <c r="E17" s="5">
        <f t="shared" si="3"/>
        <v>2034</v>
      </c>
      <c r="F17" s="6">
        <f t="shared" si="2"/>
        <v>0</v>
      </c>
    </row>
    <row r="18" spans="2:6" x14ac:dyDescent="0.25">
      <c r="B18" s="5">
        <v>16</v>
      </c>
      <c r="C18" s="5" t="str">
        <f t="shared" si="4"/>
        <v>M2</v>
      </c>
      <c r="D18" s="5">
        <f t="shared" si="2"/>
        <v>0</v>
      </c>
      <c r="E18" s="5">
        <f t="shared" si="3"/>
        <v>2034</v>
      </c>
      <c r="F18" s="6">
        <f t="shared" si="2"/>
        <v>0</v>
      </c>
    </row>
    <row r="19" spans="2:6" x14ac:dyDescent="0.25">
      <c r="B19" s="5">
        <v>17</v>
      </c>
      <c r="C19" s="5" t="str">
        <f t="shared" si="4"/>
        <v>M1</v>
      </c>
      <c r="D19" s="5">
        <f t="shared" si="2"/>
        <v>0</v>
      </c>
      <c r="E19" s="5">
        <f t="shared" si="3"/>
        <v>2035</v>
      </c>
      <c r="F19" s="6">
        <f t="shared" si="2"/>
        <v>0</v>
      </c>
    </row>
    <row r="20" spans="2:6" x14ac:dyDescent="0.25">
      <c r="B20" s="5">
        <v>18</v>
      </c>
      <c r="C20" s="5" t="str">
        <f t="shared" si="4"/>
        <v>M2</v>
      </c>
      <c r="D20" s="5">
        <f t="shared" si="2"/>
        <v>0</v>
      </c>
      <c r="E20" s="5">
        <f t="shared" si="3"/>
        <v>2035</v>
      </c>
      <c r="F20" s="6">
        <f t="shared" si="2"/>
        <v>0</v>
      </c>
    </row>
    <row r="21" spans="2:6" x14ac:dyDescent="0.25">
      <c r="B21" s="5">
        <v>19</v>
      </c>
      <c r="C21" s="5" t="str">
        <f t="shared" si="4"/>
        <v>M1</v>
      </c>
      <c r="D21" s="5">
        <f t="shared" si="2"/>
        <v>0</v>
      </c>
      <c r="E21" s="5">
        <f t="shared" si="3"/>
        <v>2036</v>
      </c>
      <c r="F21" s="6">
        <f t="shared" si="2"/>
        <v>0</v>
      </c>
    </row>
    <row r="22" spans="2:6" x14ac:dyDescent="0.25">
      <c r="B22" s="5">
        <v>20</v>
      </c>
      <c r="C22" s="5" t="str">
        <f t="shared" si="4"/>
        <v>M2</v>
      </c>
      <c r="D22" s="5">
        <f t="shared" si="2"/>
        <v>0</v>
      </c>
      <c r="E22" s="5">
        <f t="shared" si="3"/>
        <v>2036</v>
      </c>
      <c r="F22" s="6">
        <f t="shared" si="2"/>
        <v>0</v>
      </c>
    </row>
    <row r="23" spans="2:6" x14ac:dyDescent="0.25">
      <c r="B23" s="5">
        <v>21</v>
      </c>
      <c r="C23" s="5" t="str">
        <f t="shared" si="4"/>
        <v>M1</v>
      </c>
      <c r="D23" s="5">
        <f t="shared" si="2"/>
        <v>0</v>
      </c>
      <c r="E23" s="5">
        <f t="shared" si="3"/>
        <v>2037</v>
      </c>
      <c r="F23" s="6">
        <f t="shared" si="2"/>
        <v>0</v>
      </c>
    </row>
    <row r="24" spans="2:6" x14ac:dyDescent="0.25">
      <c r="B24" s="5">
        <v>22</v>
      </c>
      <c r="C24" s="5" t="str">
        <f t="shared" si="4"/>
        <v>M2</v>
      </c>
      <c r="D24" s="5">
        <f t="shared" si="2"/>
        <v>0</v>
      </c>
      <c r="E24" s="5">
        <f t="shared" si="3"/>
        <v>2037</v>
      </c>
      <c r="F24" s="6">
        <f t="shared" si="2"/>
        <v>0</v>
      </c>
    </row>
    <row r="25" spans="2:6" x14ac:dyDescent="0.25">
      <c r="B25" s="5">
        <v>23</v>
      </c>
      <c r="C25" s="5" t="str">
        <f t="shared" si="4"/>
        <v>M1</v>
      </c>
      <c r="D25" s="5">
        <f t="shared" si="2"/>
        <v>0</v>
      </c>
      <c r="E25" s="5">
        <f t="shared" si="3"/>
        <v>2038</v>
      </c>
      <c r="F25" s="6">
        <f t="shared" si="2"/>
        <v>0</v>
      </c>
    </row>
    <row r="26" spans="2:6" x14ac:dyDescent="0.25">
      <c r="B26" s="5">
        <v>24</v>
      </c>
      <c r="C26" s="5" t="str">
        <f t="shared" si="4"/>
        <v>M2</v>
      </c>
      <c r="D26" s="5">
        <f t="shared" si="2"/>
        <v>0</v>
      </c>
      <c r="E26" s="5">
        <f t="shared" si="3"/>
        <v>2038</v>
      </c>
      <c r="F26" s="6">
        <f t="shared" si="2"/>
        <v>0</v>
      </c>
    </row>
    <row r="27" spans="2:6" x14ac:dyDescent="0.25">
      <c r="B27" s="5">
        <v>25</v>
      </c>
      <c r="C27" s="5" t="str">
        <f t="shared" si="4"/>
        <v>M1</v>
      </c>
      <c r="D27" s="5">
        <f t="shared" si="2"/>
        <v>0</v>
      </c>
      <c r="E27" s="5">
        <f t="shared" si="3"/>
        <v>2039</v>
      </c>
      <c r="F27" s="6">
        <f t="shared" si="2"/>
        <v>0</v>
      </c>
    </row>
    <row r="28" spans="2:6" x14ac:dyDescent="0.25">
      <c r="B28" s="5">
        <v>26</v>
      </c>
      <c r="C28" s="5" t="str">
        <f t="shared" si="4"/>
        <v>M2</v>
      </c>
      <c r="D28" s="5">
        <f t="shared" si="2"/>
        <v>0</v>
      </c>
      <c r="E28" s="5">
        <f t="shared" si="3"/>
        <v>2039</v>
      </c>
      <c r="F28" s="6">
        <f t="shared" si="2"/>
        <v>0</v>
      </c>
    </row>
    <row r="29" spans="2:6" x14ac:dyDescent="0.25">
      <c r="B29" s="5">
        <v>27</v>
      </c>
      <c r="C29" s="5" t="str">
        <f t="shared" si="4"/>
        <v>M1</v>
      </c>
      <c r="D29" s="5">
        <f t="shared" si="2"/>
        <v>0</v>
      </c>
      <c r="E29" s="5">
        <f t="shared" si="3"/>
        <v>2040</v>
      </c>
      <c r="F29" s="6">
        <f t="shared" si="2"/>
        <v>0</v>
      </c>
    </row>
    <row r="30" spans="2:6" x14ac:dyDescent="0.25">
      <c r="B30" s="5">
        <v>28</v>
      </c>
      <c r="C30" s="5" t="str">
        <f t="shared" si="4"/>
        <v>M2</v>
      </c>
      <c r="D30" s="5">
        <f t="shared" si="2"/>
        <v>0</v>
      </c>
      <c r="E30" s="5">
        <f t="shared" si="3"/>
        <v>2040</v>
      </c>
      <c r="F30" s="6">
        <f t="shared" si="2"/>
        <v>0</v>
      </c>
    </row>
    <row r="31" spans="2:6" x14ac:dyDescent="0.25">
      <c r="B31" s="5">
        <v>29</v>
      </c>
      <c r="C31" s="5" t="str">
        <f t="shared" si="4"/>
        <v>M1</v>
      </c>
      <c r="D31" s="5">
        <f t="shared" si="2"/>
        <v>0</v>
      </c>
      <c r="E31" s="5">
        <f t="shared" si="3"/>
        <v>2041</v>
      </c>
      <c r="F31" s="6">
        <f t="shared" si="2"/>
        <v>0</v>
      </c>
    </row>
    <row r="32" spans="2:6" x14ac:dyDescent="0.25">
      <c r="B32" s="5">
        <v>30</v>
      </c>
      <c r="C32" s="5" t="str">
        <f t="shared" si="4"/>
        <v>M2</v>
      </c>
      <c r="D32" s="5">
        <f t="shared" si="2"/>
        <v>0</v>
      </c>
      <c r="E32" s="5">
        <f t="shared" si="3"/>
        <v>2041</v>
      </c>
      <c r="F32" s="6">
        <f t="shared" si="2"/>
        <v>0</v>
      </c>
    </row>
    <row r="33" spans="2:6" x14ac:dyDescent="0.25">
      <c r="B33" s="5">
        <v>31</v>
      </c>
      <c r="C33" s="5" t="str">
        <f t="shared" si="4"/>
        <v>M1</v>
      </c>
      <c r="D33" s="5">
        <f t="shared" si="2"/>
        <v>0</v>
      </c>
      <c r="E33" s="5">
        <f t="shared" si="3"/>
        <v>2042</v>
      </c>
      <c r="F33" s="6">
        <f t="shared" si="2"/>
        <v>0</v>
      </c>
    </row>
    <row r="34" spans="2:6" x14ac:dyDescent="0.25">
      <c r="B34" s="5">
        <v>32</v>
      </c>
      <c r="C34" s="5" t="str">
        <f t="shared" si="4"/>
        <v>M2</v>
      </c>
      <c r="D34" s="5">
        <f t="shared" si="2"/>
        <v>0</v>
      </c>
      <c r="E34" s="5">
        <f t="shared" si="3"/>
        <v>2042</v>
      </c>
      <c r="F34" s="6">
        <f t="shared" si="2"/>
        <v>0</v>
      </c>
    </row>
    <row r="35" spans="2:6" x14ac:dyDescent="0.25">
      <c r="B35" s="5">
        <v>33</v>
      </c>
      <c r="C35" s="5" t="str">
        <f t="shared" si="4"/>
        <v>M1</v>
      </c>
      <c r="D35" s="5">
        <f t="shared" si="2"/>
        <v>0</v>
      </c>
      <c r="E35" s="5">
        <f t="shared" si="3"/>
        <v>2043</v>
      </c>
      <c r="F35" s="6">
        <f t="shared" si="2"/>
        <v>0</v>
      </c>
    </row>
    <row r="36" spans="2:6" x14ac:dyDescent="0.25">
      <c r="B36" s="5">
        <v>34</v>
      </c>
      <c r="C36" s="5" t="str">
        <f t="shared" si="4"/>
        <v>M2</v>
      </c>
      <c r="D36" s="5">
        <f t="shared" si="2"/>
        <v>0</v>
      </c>
      <c r="E36" s="5">
        <f t="shared" si="3"/>
        <v>2043</v>
      </c>
      <c r="F36" s="6">
        <f t="shared" si="2"/>
        <v>0</v>
      </c>
    </row>
    <row r="37" spans="2:6" x14ac:dyDescent="0.25">
      <c r="B37" s="5">
        <v>35</v>
      </c>
      <c r="C37" s="5" t="str">
        <f t="shared" si="4"/>
        <v>M1</v>
      </c>
      <c r="D37" s="5">
        <f t="shared" si="2"/>
        <v>0</v>
      </c>
      <c r="E37" s="5">
        <f t="shared" si="3"/>
        <v>2044</v>
      </c>
      <c r="F37" s="6">
        <f t="shared" si="2"/>
        <v>0</v>
      </c>
    </row>
    <row r="38" spans="2:6" x14ac:dyDescent="0.25">
      <c r="B38" s="5">
        <v>36</v>
      </c>
      <c r="C38" s="5" t="str">
        <f t="shared" si="4"/>
        <v>M2</v>
      </c>
      <c r="D38" s="5">
        <f t="shared" si="2"/>
        <v>0</v>
      </c>
      <c r="E38" s="5">
        <f t="shared" si="3"/>
        <v>2044</v>
      </c>
      <c r="F38" s="6">
        <f t="shared" si="2"/>
        <v>0</v>
      </c>
    </row>
    <row r="39" spans="2:6" x14ac:dyDescent="0.25">
      <c r="B39" s="5">
        <v>37</v>
      </c>
      <c r="C39" s="5" t="str">
        <f t="shared" si="4"/>
        <v>M1</v>
      </c>
      <c r="D39" s="5">
        <f t="shared" si="2"/>
        <v>0</v>
      </c>
      <c r="E39" s="5">
        <f t="shared" si="3"/>
        <v>2045</v>
      </c>
      <c r="F39" s="6">
        <f t="shared" si="2"/>
        <v>0</v>
      </c>
    </row>
    <row r="40" spans="2:6" x14ac:dyDescent="0.25">
      <c r="B40" s="5">
        <v>38</v>
      </c>
      <c r="C40" s="5" t="str">
        <f t="shared" si="4"/>
        <v>M2</v>
      </c>
      <c r="D40" s="5">
        <f t="shared" si="2"/>
        <v>0</v>
      </c>
      <c r="E40" s="5">
        <f t="shared" si="3"/>
        <v>2045</v>
      </c>
      <c r="F40" s="6">
        <f t="shared" si="2"/>
        <v>0</v>
      </c>
    </row>
    <row r="41" spans="2:6" x14ac:dyDescent="0.25">
      <c r="B41" s="5">
        <v>39</v>
      </c>
      <c r="C41" s="5" t="str">
        <f t="shared" si="4"/>
        <v>M1</v>
      </c>
      <c r="D41" s="5">
        <f t="shared" si="2"/>
        <v>0</v>
      </c>
      <c r="E41" s="5">
        <f t="shared" si="3"/>
        <v>2046</v>
      </c>
      <c r="F41" s="6">
        <f t="shared" si="2"/>
        <v>0</v>
      </c>
    </row>
    <row r="42" spans="2:6" x14ac:dyDescent="0.25">
      <c r="B42" s="5">
        <v>40</v>
      </c>
      <c r="C42" s="5" t="str">
        <f t="shared" si="4"/>
        <v>M2</v>
      </c>
      <c r="D42" s="5">
        <f t="shared" si="2"/>
        <v>0</v>
      </c>
      <c r="E42" s="5">
        <f t="shared" si="3"/>
        <v>2046</v>
      </c>
      <c r="F42" s="6">
        <f t="shared" si="2"/>
        <v>0</v>
      </c>
    </row>
    <row r="43" spans="2:6" x14ac:dyDescent="0.25">
      <c r="B43" s="5">
        <v>41</v>
      </c>
      <c r="C43" s="5" t="str">
        <f t="shared" si="4"/>
        <v>M1</v>
      </c>
      <c r="D43" s="5">
        <f t="shared" si="2"/>
        <v>0</v>
      </c>
      <c r="E43" s="5">
        <f t="shared" si="3"/>
        <v>2047</v>
      </c>
      <c r="F43" s="6">
        <f t="shared" si="2"/>
        <v>0</v>
      </c>
    </row>
    <row r="44" spans="2:6" x14ac:dyDescent="0.25">
      <c r="B44" s="5">
        <v>42</v>
      </c>
      <c r="C44" s="5" t="str">
        <f t="shared" si="4"/>
        <v>M2</v>
      </c>
      <c r="D44" s="5">
        <f t="shared" si="2"/>
        <v>0</v>
      </c>
      <c r="E44" s="5">
        <f t="shared" si="3"/>
        <v>2047</v>
      </c>
      <c r="F44" s="6">
        <f t="shared" si="2"/>
        <v>0</v>
      </c>
    </row>
    <row r="45" spans="2:6" x14ac:dyDescent="0.25">
      <c r="B45" s="5">
        <v>43</v>
      </c>
      <c r="C45" s="5" t="str">
        <f t="shared" si="4"/>
        <v>M1</v>
      </c>
      <c r="D45" s="5">
        <f t="shared" si="2"/>
        <v>0</v>
      </c>
      <c r="E45" s="5">
        <f t="shared" si="3"/>
        <v>2048</v>
      </c>
      <c r="F45" s="6">
        <f t="shared" si="2"/>
        <v>0</v>
      </c>
    </row>
    <row r="46" spans="2:6" x14ac:dyDescent="0.25">
      <c r="B46" s="5">
        <v>44</v>
      </c>
      <c r="C46" s="5" t="str">
        <f t="shared" si="4"/>
        <v>M2</v>
      </c>
      <c r="D46" s="5">
        <f t="shared" si="2"/>
        <v>0</v>
      </c>
      <c r="E46" s="5">
        <f t="shared" si="3"/>
        <v>2048</v>
      </c>
      <c r="F46" s="6">
        <f t="shared" si="2"/>
        <v>0</v>
      </c>
    </row>
    <row r="47" spans="2:6" x14ac:dyDescent="0.25">
      <c r="B47" s="5">
        <v>45</v>
      </c>
      <c r="C47" s="5" t="str">
        <f t="shared" si="4"/>
        <v>M1</v>
      </c>
      <c r="D47" s="5">
        <f t="shared" si="2"/>
        <v>0</v>
      </c>
      <c r="E47" s="5">
        <f t="shared" si="3"/>
        <v>2049</v>
      </c>
      <c r="F47" s="6">
        <f t="shared" si="2"/>
        <v>0</v>
      </c>
    </row>
    <row r="48" spans="2:6" x14ac:dyDescent="0.25">
      <c r="B48" s="5">
        <v>46</v>
      </c>
      <c r="C48" s="5" t="str">
        <f t="shared" si="4"/>
        <v>M2</v>
      </c>
      <c r="D48" s="5">
        <f t="shared" si="2"/>
        <v>0</v>
      </c>
      <c r="E48" s="5">
        <f t="shared" si="3"/>
        <v>2049</v>
      </c>
      <c r="F48" s="6">
        <f t="shared" si="2"/>
        <v>0</v>
      </c>
    </row>
    <row r="49" spans="2:6" x14ac:dyDescent="0.25">
      <c r="B49" s="5">
        <v>47</v>
      </c>
      <c r="C49" s="5" t="str">
        <f t="shared" si="4"/>
        <v>M1</v>
      </c>
      <c r="D49" s="5">
        <f t="shared" si="2"/>
        <v>0</v>
      </c>
      <c r="E49" s="5">
        <f t="shared" si="3"/>
        <v>2050</v>
      </c>
      <c r="F49" s="6">
        <f t="shared" si="2"/>
        <v>0</v>
      </c>
    </row>
    <row r="50" spans="2:6" x14ac:dyDescent="0.25">
      <c r="B50" s="5">
        <v>48</v>
      </c>
      <c r="C50" s="5" t="str">
        <f t="shared" si="4"/>
        <v>M2</v>
      </c>
      <c r="D50" s="5">
        <f t="shared" si="2"/>
        <v>0</v>
      </c>
      <c r="E50" s="5">
        <f t="shared" si="3"/>
        <v>2050</v>
      </c>
      <c r="F50" s="6">
        <f t="shared" si="2"/>
        <v>0</v>
      </c>
    </row>
    <row r="51" spans="2:6" x14ac:dyDescent="0.25">
      <c r="B51" s="5">
        <v>49</v>
      </c>
      <c r="C51" s="5" t="str">
        <f t="shared" si="4"/>
        <v>M1</v>
      </c>
      <c r="D51" s="5">
        <f t="shared" si="2"/>
        <v>0</v>
      </c>
      <c r="E51" s="5">
        <f t="shared" si="3"/>
        <v>2051</v>
      </c>
      <c r="F51" s="6">
        <f t="shared" si="2"/>
        <v>0</v>
      </c>
    </row>
    <row r="52" spans="2:6" x14ac:dyDescent="0.25">
      <c r="B52" s="5">
        <v>50</v>
      </c>
      <c r="C52" s="5" t="str">
        <f t="shared" si="4"/>
        <v>M2</v>
      </c>
      <c r="D52" s="5">
        <f t="shared" si="2"/>
        <v>0</v>
      </c>
      <c r="E52" s="5">
        <f t="shared" si="3"/>
        <v>2051</v>
      </c>
      <c r="F52" s="6">
        <f t="shared" si="2"/>
        <v>0</v>
      </c>
    </row>
    <row r="53" spans="2:6" x14ac:dyDescent="0.25">
      <c r="B53" s="5">
        <v>51</v>
      </c>
      <c r="C53" s="5" t="str">
        <f t="shared" si="4"/>
        <v>M1</v>
      </c>
      <c r="D53" s="5">
        <f t="shared" si="2"/>
        <v>0</v>
      </c>
      <c r="E53" s="5">
        <f t="shared" si="3"/>
        <v>2052</v>
      </c>
      <c r="F53" s="6">
        <f t="shared" si="2"/>
        <v>0</v>
      </c>
    </row>
    <row r="54" spans="2:6" x14ac:dyDescent="0.25">
      <c r="B54" s="5">
        <v>52</v>
      </c>
      <c r="C54" s="5" t="str">
        <f t="shared" si="4"/>
        <v>M2</v>
      </c>
      <c r="D54" s="5">
        <f t="shared" si="2"/>
        <v>0</v>
      </c>
      <c r="E54" s="5">
        <f t="shared" si="3"/>
        <v>2052</v>
      </c>
      <c r="F54" s="6">
        <f t="shared" si="2"/>
        <v>0</v>
      </c>
    </row>
    <row r="55" spans="2:6" x14ac:dyDescent="0.25">
      <c r="B55" s="5">
        <v>53</v>
      </c>
      <c r="C55" s="5" t="str">
        <f t="shared" si="4"/>
        <v>M1</v>
      </c>
      <c r="D55" s="5">
        <f t="shared" si="2"/>
        <v>0</v>
      </c>
      <c r="E55" s="5">
        <f t="shared" si="3"/>
        <v>2053</v>
      </c>
      <c r="F55" s="6">
        <f t="shared" si="2"/>
        <v>0</v>
      </c>
    </row>
    <row r="56" spans="2:6" x14ac:dyDescent="0.25">
      <c r="B56" s="5">
        <v>54</v>
      </c>
      <c r="C56" s="5" t="str">
        <f t="shared" si="4"/>
        <v>M2</v>
      </c>
      <c r="D56" s="5">
        <f t="shared" si="2"/>
        <v>0</v>
      </c>
      <c r="E56" s="5">
        <f t="shared" si="3"/>
        <v>2053</v>
      </c>
      <c r="F56" s="6">
        <f t="shared" si="2"/>
        <v>0</v>
      </c>
    </row>
    <row r="57" spans="2:6" x14ac:dyDescent="0.25">
      <c r="B57" s="5">
        <v>55</v>
      </c>
      <c r="C57" s="5" t="str">
        <f t="shared" si="4"/>
        <v>M1</v>
      </c>
      <c r="D57" s="5">
        <f t="shared" si="2"/>
        <v>0</v>
      </c>
      <c r="E57" s="5">
        <f t="shared" si="3"/>
        <v>2054</v>
      </c>
      <c r="F57" s="6">
        <f t="shared" si="2"/>
        <v>0</v>
      </c>
    </row>
    <row r="58" spans="2:6" x14ac:dyDescent="0.25">
      <c r="B58" s="5">
        <v>56</v>
      </c>
      <c r="C58" s="5" t="str">
        <f t="shared" si="4"/>
        <v>M2</v>
      </c>
      <c r="D58" s="5">
        <f t="shared" si="2"/>
        <v>0</v>
      </c>
      <c r="E58" s="5">
        <f t="shared" si="3"/>
        <v>2054</v>
      </c>
      <c r="F58" s="6">
        <f t="shared" si="2"/>
        <v>0</v>
      </c>
    </row>
    <row r="59" spans="2:6" x14ac:dyDescent="0.25">
      <c r="B59" s="5">
        <v>57</v>
      </c>
      <c r="C59" s="5" t="str">
        <f t="shared" si="4"/>
        <v>M1</v>
      </c>
      <c r="D59" s="5">
        <f t="shared" si="2"/>
        <v>0</v>
      </c>
      <c r="E59" s="5">
        <f t="shared" si="3"/>
        <v>2055</v>
      </c>
      <c r="F59" s="6">
        <f t="shared" si="2"/>
        <v>0</v>
      </c>
    </row>
    <row r="60" spans="2:6" x14ac:dyDescent="0.25">
      <c r="B60" s="5">
        <v>58</v>
      </c>
      <c r="C60" s="5" t="str">
        <f t="shared" si="4"/>
        <v>M2</v>
      </c>
      <c r="D60" s="5">
        <f t="shared" si="2"/>
        <v>0</v>
      </c>
      <c r="E60" s="5">
        <f t="shared" si="3"/>
        <v>2055</v>
      </c>
      <c r="F60" s="6">
        <f t="shared" si="2"/>
        <v>0</v>
      </c>
    </row>
    <row r="61" spans="2:6" x14ac:dyDescent="0.25">
      <c r="B61" s="5">
        <v>59</v>
      </c>
      <c r="C61" s="5" t="str">
        <f t="shared" si="4"/>
        <v>M1</v>
      </c>
      <c r="D61" s="5">
        <f t="shared" si="2"/>
        <v>0</v>
      </c>
      <c r="E61" s="5">
        <f t="shared" si="3"/>
        <v>2056</v>
      </c>
      <c r="F61" s="6">
        <f t="shared" si="2"/>
        <v>0</v>
      </c>
    </row>
    <row r="62" spans="2:6" x14ac:dyDescent="0.25">
      <c r="B62" s="5">
        <v>60</v>
      </c>
      <c r="C62" s="5" t="str">
        <f t="shared" si="4"/>
        <v>M2</v>
      </c>
      <c r="D62" s="5">
        <f t="shared" si="2"/>
        <v>0</v>
      </c>
      <c r="E62" s="5">
        <f t="shared" si="3"/>
        <v>2056</v>
      </c>
      <c r="F62" s="6">
        <f t="shared" si="2"/>
        <v>0</v>
      </c>
    </row>
    <row r="63" spans="2:6" x14ac:dyDescent="0.25">
      <c r="F63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064E-AD02-492F-996E-AB801F48F082}">
  <dimension ref="A1:N42"/>
  <sheetViews>
    <sheetView workbookViewId="0">
      <pane ySplit="2" topLeftCell="A3" activePane="bottomLeft" state="frozen"/>
      <selection pane="bottomLeft" activeCell="H8" sqref="H8"/>
    </sheetView>
  </sheetViews>
  <sheetFormatPr defaultRowHeight="15" x14ac:dyDescent="0.25"/>
  <cols>
    <col min="1" max="1" width="1.7109375" customWidth="1"/>
    <col min="3" max="3" width="6.7109375" bestFit="1" customWidth="1"/>
    <col min="4" max="4" width="4.42578125" bestFit="1" customWidth="1"/>
    <col min="6" max="6" width="12.140625" bestFit="1" customWidth="1"/>
    <col min="8" max="8" width="14.140625" bestFit="1" customWidth="1"/>
    <col min="9" max="9" width="12.140625" bestFit="1" customWidth="1"/>
    <col min="10" max="10" width="9.85546875" bestFit="1" customWidth="1"/>
    <col min="11" max="11" width="10.5703125" bestFit="1" customWidth="1"/>
    <col min="12" max="12" width="13.28515625" bestFit="1" customWidth="1"/>
    <col min="13" max="13" width="9.5703125" bestFit="1" customWidth="1"/>
    <col min="14" max="14" width="9.140625" customWidth="1"/>
    <col min="15" max="15" width="59.85546875" customWidth="1"/>
  </cols>
  <sheetData>
    <row r="1" spans="1:14" x14ac:dyDescent="0.25">
      <c r="A1" s="1" t="s">
        <v>15</v>
      </c>
      <c r="B1" s="1"/>
      <c r="C1" s="1"/>
      <c r="D1" s="1"/>
      <c r="E1" s="1"/>
      <c r="F1" s="1"/>
      <c r="G1" s="1"/>
      <c r="H1" s="1" t="s">
        <v>1</v>
      </c>
      <c r="I1" s="1"/>
    </row>
    <row r="2" spans="1:14" x14ac:dyDescent="0.25">
      <c r="B2" s="1" t="s">
        <v>7</v>
      </c>
      <c r="C2" s="1" t="s">
        <v>2</v>
      </c>
      <c r="D2" s="1" t="s">
        <v>3</v>
      </c>
      <c r="E2" s="1" t="s">
        <v>4</v>
      </c>
      <c r="F2" s="1" t="s">
        <v>8</v>
      </c>
      <c r="G2" s="1"/>
      <c r="H2" s="7" t="s">
        <v>13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14</v>
      </c>
    </row>
    <row r="3" spans="1:14" x14ac:dyDescent="0.25">
      <c r="B3" s="5" cm="1">
        <f t="array" ref="B3:B42">_xlfn.SEQUENCE(40,1,1,1)</f>
        <v>1</v>
      </c>
      <c r="C3" t="s">
        <v>5</v>
      </c>
      <c r="D3" s="3"/>
      <c r="E3" s="3">
        <v>2027</v>
      </c>
      <c r="F3" s="4">
        <v>0</v>
      </c>
      <c r="H3" s="6">
        <f>I3*40</f>
        <v>0</v>
      </c>
      <c r="I3" s="8">
        <v>0</v>
      </c>
      <c r="J3" s="10"/>
      <c r="K3" s="11"/>
      <c r="L3" s="10"/>
      <c r="M3" s="12"/>
      <c r="N3" s="9" t="e">
        <f>H3/M3</f>
        <v>#DIV/0!</v>
      </c>
    </row>
    <row r="4" spans="1:14" x14ac:dyDescent="0.25">
      <c r="B4" s="5">
        <v>2</v>
      </c>
      <c r="C4" s="5" t="s">
        <v>6</v>
      </c>
      <c r="D4" s="5">
        <f>D3</f>
        <v>0</v>
      </c>
      <c r="E4" s="5">
        <f>IF(ISEVEN(B4),E3,E3+1)</f>
        <v>2027</v>
      </c>
      <c r="F4" s="6">
        <f>F3</f>
        <v>0</v>
      </c>
      <c r="H4" s="6">
        <f t="shared" ref="H4:H7" si="0">I4*40</f>
        <v>0</v>
      </c>
      <c r="I4" s="8">
        <v>0</v>
      </c>
      <c r="J4" s="10"/>
      <c r="K4" s="11"/>
      <c r="L4" s="10"/>
      <c r="M4" s="12"/>
      <c r="N4" s="9" t="e">
        <f t="shared" ref="N4:N7" si="1">H4/M4</f>
        <v>#DIV/0!</v>
      </c>
    </row>
    <row r="5" spans="1:14" x14ac:dyDescent="0.25">
      <c r="B5" s="5">
        <v>3</v>
      </c>
      <c r="C5" s="5" t="str">
        <f>C3</f>
        <v>M1</v>
      </c>
      <c r="D5" s="5">
        <f t="shared" ref="D5:F42" si="2">D4</f>
        <v>0</v>
      </c>
      <c r="E5" s="5">
        <f t="shared" ref="E5:E42" si="3">IF(ISEVEN(B5),E4,E4+1)</f>
        <v>2028</v>
      </c>
      <c r="F5" s="6">
        <f t="shared" si="2"/>
        <v>0</v>
      </c>
      <c r="H5" s="6">
        <f t="shared" si="0"/>
        <v>0</v>
      </c>
      <c r="I5" s="8">
        <v>0</v>
      </c>
      <c r="J5" s="10"/>
      <c r="K5" s="11"/>
      <c r="L5" s="10"/>
      <c r="M5" s="12"/>
      <c r="N5" s="9" t="e">
        <f t="shared" si="1"/>
        <v>#DIV/0!</v>
      </c>
    </row>
    <row r="6" spans="1:14" x14ac:dyDescent="0.25">
      <c r="B6" s="5">
        <v>4</v>
      </c>
      <c r="C6" s="5" t="str">
        <f t="shared" ref="C6:C42" si="4">C4</f>
        <v>M2</v>
      </c>
      <c r="D6" s="5">
        <f t="shared" si="2"/>
        <v>0</v>
      </c>
      <c r="E6" s="5">
        <f t="shared" si="3"/>
        <v>2028</v>
      </c>
      <c r="F6" s="6">
        <f t="shared" si="2"/>
        <v>0</v>
      </c>
      <c r="H6" s="6">
        <f t="shared" si="0"/>
        <v>0</v>
      </c>
      <c r="I6" s="8">
        <v>0</v>
      </c>
      <c r="J6" s="10"/>
      <c r="K6" s="11"/>
      <c r="L6" s="10"/>
      <c r="M6" s="12"/>
      <c r="N6" s="9" t="e">
        <f t="shared" si="1"/>
        <v>#DIV/0!</v>
      </c>
    </row>
    <row r="7" spans="1:14" x14ac:dyDescent="0.25">
      <c r="B7" s="5">
        <v>5</v>
      </c>
      <c r="C7" s="5" t="str">
        <f t="shared" si="4"/>
        <v>M1</v>
      </c>
      <c r="D7" s="5">
        <f t="shared" si="2"/>
        <v>0</v>
      </c>
      <c r="E7" s="5">
        <f t="shared" si="3"/>
        <v>2029</v>
      </c>
      <c r="F7" s="6">
        <f t="shared" si="2"/>
        <v>0</v>
      </c>
      <c r="H7" s="6">
        <f t="shared" si="0"/>
        <v>0</v>
      </c>
      <c r="I7" s="8">
        <v>0</v>
      </c>
      <c r="J7" s="10"/>
      <c r="K7" s="11"/>
      <c r="L7" s="10"/>
      <c r="M7" s="12"/>
      <c r="N7" s="9" t="e">
        <f t="shared" si="1"/>
        <v>#DIV/0!</v>
      </c>
    </row>
    <row r="8" spans="1:14" ht="15.75" thickBot="1" x14ac:dyDescent="0.3">
      <c r="B8" s="5">
        <v>6</v>
      </c>
      <c r="C8" s="5" t="str">
        <f t="shared" si="4"/>
        <v>M2</v>
      </c>
      <c r="D8" s="5">
        <f t="shared" si="2"/>
        <v>0</v>
      </c>
      <c r="E8" s="5">
        <f t="shared" si="3"/>
        <v>2029</v>
      </c>
      <c r="F8" s="6">
        <f t="shared" si="2"/>
        <v>0</v>
      </c>
      <c r="H8" s="13">
        <f>SUM(H3:H7)</f>
        <v>0</v>
      </c>
      <c r="I8" s="13">
        <f>SUM(I3:I7)</f>
        <v>0</v>
      </c>
    </row>
    <row r="9" spans="1:14" ht="15.75" thickTop="1" x14ac:dyDescent="0.25">
      <c r="B9" s="5">
        <v>7</v>
      </c>
      <c r="C9" s="5" t="str">
        <f t="shared" si="4"/>
        <v>M1</v>
      </c>
      <c r="D9" s="5">
        <f t="shared" si="2"/>
        <v>0</v>
      </c>
      <c r="E9" s="5">
        <f t="shared" si="3"/>
        <v>2030</v>
      </c>
      <c r="F9" s="6">
        <f t="shared" si="2"/>
        <v>0</v>
      </c>
    </row>
    <row r="10" spans="1:14" x14ac:dyDescent="0.25">
      <c r="B10" s="5">
        <v>8</v>
      </c>
      <c r="C10" s="5" t="str">
        <f t="shared" si="4"/>
        <v>M2</v>
      </c>
      <c r="D10" s="5">
        <f t="shared" si="2"/>
        <v>0</v>
      </c>
      <c r="E10" s="5">
        <f t="shared" si="3"/>
        <v>2030</v>
      </c>
      <c r="F10" s="6">
        <f t="shared" si="2"/>
        <v>0</v>
      </c>
    </row>
    <row r="11" spans="1:14" x14ac:dyDescent="0.25">
      <c r="B11" s="5">
        <v>9</v>
      </c>
      <c r="C11" s="5" t="str">
        <f t="shared" si="4"/>
        <v>M1</v>
      </c>
      <c r="D11" s="5">
        <f t="shared" si="2"/>
        <v>0</v>
      </c>
      <c r="E11" s="5">
        <f t="shared" si="3"/>
        <v>2031</v>
      </c>
      <c r="F11" s="6">
        <f t="shared" si="2"/>
        <v>0</v>
      </c>
    </row>
    <row r="12" spans="1:14" x14ac:dyDescent="0.25">
      <c r="B12" s="5">
        <v>10</v>
      </c>
      <c r="C12" s="5" t="str">
        <f t="shared" si="4"/>
        <v>M2</v>
      </c>
      <c r="D12" s="5">
        <f t="shared" si="2"/>
        <v>0</v>
      </c>
      <c r="E12" s="5">
        <f t="shared" si="3"/>
        <v>2031</v>
      </c>
      <c r="F12" s="6">
        <f t="shared" si="2"/>
        <v>0</v>
      </c>
    </row>
    <row r="13" spans="1:14" x14ac:dyDescent="0.25">
      <c r="B13" s="5">
        <v>11</v>
      </c>
      <c r="C13" s="5" t="str">
        <f t="shared" si="4"/>
        <v>M1</v>
      </c>
      <c r="D13" s="5">
        <f t="shared" si="2"/>
        <v>0</v>
      </c>
      <c r="E13" s="5">
        <f t="shared" si="3"/>
        <v>2032</v>
      </c>
      <c r="F13" s="6">
        <f t="shared" si="2"/>
        <v>0</v>
      </c>
    </row>
    <row r="14" spans="1:14" x14ac:dyDescent="0.25">
      <c r="B14" s="5">
        <v>12</v>
      </c>
      <c r="C14" s="5" t="str">
        <f t="shared" si="4"/>
        <v>M2</v>
      </c>
      <c r="D14" s="5">
        <f t="shared" si="2"/>
        <v>0</v>
      </c>
      <c r="E14" s="5">
        <f t="shared" si="3"/>
        <v>2032</v>
      </c>
      <c r="F14" s="6">
        <f t="shared" si="2"/>
        <v>0</v>
      </c>
    </row>
    <row r="15" spans="1:14" x14ac:dyDescent="0.25">
      <c r="B15" s="5">
        <v>13</v>
      </c>
      <c r="C15" s="5" t="str">
        <f t="shared" si="4"/>
        <v>M1</v>
      </c>
      <c r="D15" s="5">
        <f t="shared" si="2"/>
        <v>0</v>
      </c>
      <c r="E15" s="5">
        <f t="shared" si="3"/>
        <v>2033</v>
      </c>
      <c r="F15" s="6">
        <f t="shared" si="2"/>
        <v>0</v>
      </c>
    </row>
    <row r="16" spans="1:14" x14ac:dyDescent="0.25">
      <c r="B16" s="5">
        <v>14</v>
      </c>
      <c r="C16" s="5" t="str">
        <f t="shared" si="4"/>
        <v>M2</v>
      </c>
      <c r="D16" s="5">
        <f t="shared" si="2"/>
        <v>0</v>
      </c>
      <c r="E16" s="5">
        <f t="shared" si="3"/>
        <v>2033</v>
      </c>
      <c r="F16" s="6">
        <f t="shared" si="2"/>
        <v>0</v>
      </c>
    </row>
    <row r="17" spans="2:6" x14ac:dyDescent="0.25">
      <c r="B17" s="5">
        <v>15</v>
      </c>
      <c r="C17" s="5" t="str">
        <f t="shared" si="4"/>
        <v>M1</v>
      </c>
      <c r="D17" s="5">
        <f t="shared" si="2"/>
        <v>0</v>
      </c>
      <c r="E17" s="5">
        <f t="shared" si="3"/>
        <v>2034</v>
      </c>
      <c r="F17" s="6">
        <f t="shared" si="2"/>
        <v>0</v>
      </c>
    </row>
    <row r="18" spans="2:6" x14ac:dyDescent="0.25">
      <c r="B18" s="5">
        <v>16</v>
      </c>
      <c r="C18" s="5" t="str">
        <f t="shared" si="4"/>
        <v>M2</v>
      </c>
      <c r="D18" s="5">
        <f t="shared" si="2"/>
        <v>0</v>
      </c>
      <c r="E18" s="5">
        <f t="shared" si="3"/>
        <v>2034</v>
      </c>
      <c r="F18" s="6">
        <f t="shared" si="2"/>
        <v>0</v>
      </c>
    </row>
    <row r="19" spans="2:6" x14ac:dyDescent="0.25">
      <c r="B19" s="5">
        <v>17</v>
      </c>
      <c r="C19" s="5" t="str">
        <f t="shared" si="4"/>
        <v>M1</v>
      </c>
      <c r="D19" s="5">
        <f t="shared" si="2"/>
        <v>0</v>
      </c>
      <c r="E19" s="5">
        <f t="shared" si="3"/>
        <v>2035</v>
      </c>
      <c r="F19" s="6">
        <f t="shared" si="2"/>
        <v>0</v>
      </c>
    </row>
    <row r="20" spans="2:6" x14ac:dyDescent="0.25">
      <c r="B20" s="5">
        <v>18</v>
      </c>
      <c r="C20" s="5" t="str">
        <f t="shared" si="4"/>
        <v>M2</v>
      </c>
      <c r="D20" s="5">
        <f t="shared" si="2"/>
        <v>0</v>
      </c>
      <c r="E20" s="5">
        <f t="shared" si="3"/>
        <v>2035</v>
      </c>
      <c r="F20" s="6">
        <f t="shared" si="2"/>
        <v>0</v>
      </c>
    </row>
    <row r="21" spans="2:6" x14ac:dyDescent="0.25">
      <c r="B21" s="5">
        <v>19</v>
      </c>
      <c r="C21" s="5" t="str">
        <f t="shared" si="4"/>
        <v>M1</v>
      </c>
      <c r="D21" s="5">
        <f t="shared" si="2"/>
        <v>0</v>
      </c>
      <c r="E21" s="5">
        <f t="shared" si="3"/>
        <v>2036</v>
      </c>
      <c r="F21" s="6">
        <f t="shared" si="2"/>
        <v>0</v>
      </c>
    </row>
    <row r="22" spans="2:6" x14ac:dyDescent="0.25">
      <c r="B22" s="5">
        <v>20</v>
      </c>
      <c r="C22" s="5" t="str">
        <f t="shared" si="4"/>
        <v>M2</v>
      </c>
      <c r="D22" s="5">
        <f t="shared" si="2"/>
        <v>0</v>
      </c>
      <c r="E22" s="5">
        <f t="shared" si="3"/>
        <v>2036</v>
      </c>
      <c r="F22" s="6">
        <f t="shared" si="2"/>
        <v>0</v>
      </c>
    </row>
    <row r="23" spans="2:6" x14ac:dyDescent="0.25">
      <c r="B23" s="5">
        <v>21</v>
      </c>
      <c r="C23" s="5" t="str">
        <f t="shared" si="4"/>
        <v>M1</v>
      </c>
      <c r="D23" s="5">
        <f t="shared" si="2"/>
        <v>0</v>
      </c>
      <c r="E23" s="5">
        <f t="shared" si="3"/>
        <v>2037</v>
      </c>
      <c r="F23" s="6">
        <f t="shared" si="2"/>
        <v>0</v>
      </c>
    </row>
    <row r="24" spans="2:6" x14ac:dyDescent="0.25">
      <c r="B24" s="5">
        <v>22</v>
      </c>
      <c r="C24" s="5" t="str">
        <f t="shared" si="4"/>
        <v>M2</v>
      </c>
      <c r="D24" s="5">
        <f t="shared" si="2"/>
        <v>0</v>
      </c>
      <c r="E24" s="5">
        <f t="shared" si="3"/>
        <v>2037</v>
      </c>
      <c r="F24" s="6">
        <f t="shared" si="2"/>
        <v>0</v>
      </c>
    </row>
    <row r="25" spans="2:6" x14ac:dyDescent="0.25">
      <c r="B25" s="5">
        <v>23</v>
      </c>
      <c r="C25" s="5" t="str">
        <f t="shared" si="4"/>
        <v>M1</v>
      </c>
      <c r="D25" s="5">
        <f t="shared" si="2"/>
        <v>0</v>
      </c>
      <c r="E25" s="5">
        <f t="shared" si="3"/>
        <v>2038</v>
      </c>
      <c r="F25" s="6">
        <f t="shared" si="2"/>
        <v>0</v>
      </c>
    </row>
    <row r="26" spans="2:6" x14ac:dyDescent="0.25">
      <c r="B26" s="5">
        <v>24</v>
      </c>
      <c r="C26" s="5" t="str">
        <f t="shared" si="4"/>
        <v>M2</v>
      </c>
      <c r="D26" s="5">
        <f t="shared" si="2"/>
        <v>0</v>
      </c>
      <c r="E26" s="5">
        <f t="shared" si="3"/>
        <v>2038</v>
      </c>
      <c r="F26" s="6">
        <f t="shared" si="2"/>
        <v>0</v>
      </c>
    </row>
    <row r="27" spans="2:6" x14ac:dyDescent="0.25">
      <c r="B27" s="5">
        <v>25</v>
      </c>
      <c r="C27" s="5" t="str">
        <f t="shared" si="4"/>
        <v>M1</v>
      </c>
      <c r="D27" s="5">
        <f t="shared" si="2"/>
        <v>0</v>
      </c>
      <c r="E27" s="5">
        <f t="shared" si="3"/>
        <v>2039</v>
      </c>
      <c r="F27" s="6">
        <f t="shared" si="2"/>
        <v>0</v>
      </c>
    </row>
    <row r="28" spans="2:6" x14ac:dyDescent="0.25">
      <c r="B28" s="5">
        <v>26</v>
      </c>
      <c r="C28" s="5" t="str">
        <f t="shared" si="4"/>
        <v>M2</v>
      </c>
      <c r="D28" s="5">
        <f t="shared" si="2"/>
        <v>0</v>
      </c>
      <c r="E28" s="5">
        <f t="shared" si="3"/>
        <v>2039</v>
      </c>
      <c r="F28" s="6">
        <f t="shared" si="2"/>
        <v>0</v>
      </c>
    </row>
    <row r="29" spans="2:6" x14ac:dyDescent="0.25">
      <c r="B29" s="5">
        <v>27</v>
      </c>
      <c r="C29" s="5" t="str">
        <f t="shared" si="4"/>
        <v>M1</v>
      </c>
      <c r="D29" s="5">
        <f t="shared" si="2"/>
        <v>0</v>
      </c>
      <c r="E29" s="5">
        <f t="shared" si="3"/>
        <v>2040</v>
      </c>
      <c r="F29" s="6">
        <f t="shared" si="2"/>
        <v>0</v>
      </c>
    </row>
    <row r="30" spans="2:6" x14ac:dyDescent="0.25">
      <c r="B30" s="5">
        <v>28</v>
      </c>
      <c r="C30" s="5" t="str">
        <f t="shared" si="4"/>
        <v>M2</v>
      </c>
      <c r="D30" s="5">
        <f t="shared" si="2"/>
        <v>0</v>
      </c>
      <c r="E30" s="5">
        <f t="shared" si="3"/>
        <v>2040</v>
      </c>
      <c r="F30" s="6">
        <f t="shared" si="2"/>
        <v>0</v>
      </c>
    </row>
    <row r="31" spans="2:6" x14ac:dyDescent="0.25">
      <c r="B31" s="5">
        <v>29</v>
      </c>
      <c r="C31" s="5" t="str">
        <f t="shared" si="4"/>
        <v>M1</v>
      </c>
      <c r="D31" s="5">
        <f t="shared" si="2"/>
        <v>0</v>
      </c>
      <c r="E31" s="5">
        <f t="shared" si="3"/>
        <v>2041</v>
      </c>
      <c r="F31" s="6">
        <f t="shared" si="2"/>
        <v>0</v>
      </c>
    </row>
    <row r="32" spans="2:6" x14ac:dyDescent="0.25">
      <c r="B32" s="5">
        <v>30</v>
      </c>
      <c r="C32" s="5" t="str">
        <f t="shared" si="4"/>
        <v>M2</v>
      </c>
      <c r="D32" s="5">
        <f t="shared" si="2"/>
        <v>0</v>
      </c>
      <c r="E32" s="5">
        <f t="shared" si="3"/>
        <v>2041</v>
      </c>
      <c r="F32" s="6">
        <f t="shared" si="2"/>
        <v>0</v>
      </c>
    </row>
    <row r="33" spans="2:6" x14ac:dyDescent="0.25">
      <c r="B33" s="5">
        <v>31</v>
      </c>
      <c r="C33" s="5" t="str">
        <f t="shared" si="4"/>
        <v>M1</v>
      </c>
      <c r="D33" s="5">
        <f t="shared" si="2"/>
        <v>0</v>
      </c>
      <c r="E33" s="5">
        <f t="shared" si="3"/>
        <v>2042</v>
      </c>
      <c r="F33" s="6">
        <f t="shared" si="2"/>
        <v>0</v>
      </c>
    </row>
    <row r="34" spans="2:6" x14ac:dyDescent="0.25">
      <c r="B34" s="5">
        <v>32</v>
      </c>
      <c r="C34" s="5" t="str">
        <f t="shared" si="4"/>
        <v>M2</v>
      </c>
      <c r="D34" s="5">
        <f t="shared" si="2"/>
        <v>0</v>
      </c>
      <c r="E34" s="5">
        <f t="shared" si="3"/>
        <v>2042</v>
      </c>
      <c r="F34" s="6">
        <f t="shared" si="2"/>
        <v>0</v>
      </c>
    </row>
    <row r="35" spans="2:6" x14ac:dyDescent="0.25">
      <c r="B35" s="5">
        <v>33</v>
      </c>
      <c r="C35" s="5" t="str">
        <f t="shared" si="4"/>
        <v>M1</v>
      </c>
      <c r="D35" s="5">
        <f t="shared" si="2"/>
        <v>0</v>
      </c>
      <c r="E35" s="5">
        <f t="shared" si="3"/>
        <v>2043</v>
      </c>
      <c r="F35" s="6">
        <f t="shared" si="2"/>
        <v>0</v>
      </c>
    </row>
    <row r="36" spans="2:6" x14ac:dyDescent="0.25">
      <c r="B36" s="5">
        <v>34</v>
      </c>
      <c r="C36" s="5" t="str">
        <f t="shared" si="4"/>
        <v>M2</v>
      </c>
      <c r="D36" s="5">
        <f t="shared" si="2"/>
        <v>0</v>
      </c>
      <c r="E36" s="5">
        <f t="shared" si="3"/>
        <v>2043</v>
      </c>
      <c r="F36" s="6">
        <f t="shared" si="2"/>
        <v>0</v>
      </c>
    </row>
    <row r="37" spans="2:6" x14ac:dyDescent="0.25">
      <c r="B37" s="5">
        <v>35</v>
      </c>
      <c r="C37" s="5" t="str">
        <f t="shared" si="4"/>
        <v>M1</v>
      </c>
      <c r="D37" s="5">
        <f t="shared" si="2"/>
        <v>0</v>
      </c>
      <c r="E37" s="5">
        <f t="shared" si="3"/>
        <v>2044</v>
      </c>
      <c r="F37" s="6">
        <f t="shared" si="2"/>
        <v>0</v>
      </c>
    </row>
    <row r="38" spans="2:6" x14ac:dyDescent="0.25">
      <c r="B38" s="5">
        <v>36</v>
      </c>
      <c r="C38" s="5" t="str">
        <f t="shared" si="4"/>
        <v>M2</v>
      </c>
      <c r="D38" s="5">
        <f t="shared" si="2"/>
        <v>0</v>
      </c>
      <c r="E38" s="5">
        <f t="shared" si="3"/>
        <v>2044</v>
      </c>
      <c r="F38" s="6">
        <f t="shared" si="2"/>
        <v>0</v>
      </c>
    </row>
    <row r="39" spans="2:6" x14ac:dyDescent="0.25">
      <c r="B39" s="5">
        <v>37</v>
      </c>
      <c r="C39" s="5" t="str">
        <f t="shared" si="4"/>
        <v>M1</v>
      </c>
      <c r="D39" s="5">
        <f t="shared" si="2"/>
        <v>0</v>
      </c>
      <c r="E39" s="5">
        <f t="shared" si="3"/>
        <v>2045</v>
      </c>
      <c r="F39" s="6">
        <f t="shared" si="2"/>
        <v>0</v>
      </c>
    </row>
    <row r="40" spans="2:6" x14ac:dyDescent="0.25">
      <c r="B40" s="5">
        <v>38</v>
      </c>
      <c r="C40" s="5" t="str">
        <f t="shared" si="4"/>
        <v>M2</v>
      </c>
      <c r="D40" s="5">
        <f t="shared" si="2"/>
        <v>0</v>
      </c>
      <c r="E40" s="5">
        <f t="shared" si="3"/>
        <v>2045</v>
      </c>
      <c r="F40" s="6">
        <f t="shared" si="2"/>
        <v>0</v>
      </c>
    </row>
    <row r="41" spans="2:6" x14ac:dyDescent="0.25">
      <c r="B41" s="5">
        <v>39</v>
      </c>
      <c r="C41" s="5" t="str">
        <f t="shared" si="4"/>
        <v>M1</v>
      </c>
      <c r="D41" s="5">
        <f t="shared" si="2"/>
        <v>0</v>
      </c>
      <c r="E41" s="5">
        <f t="shared" si="3"/>
        <v>2046</v>
      </c>
      <c r="F41" s="6">
        <f t="shared" si="2"/>
        <v>0</v>
      </c>
    </row>
    <row r="42" spans="2:6" x14ac:dyDescent="0.25">
      <c r="B42" s="5">
        <v>40</v>
      </c>
      <c r="C42" s="5" t="str">
        <f t="shared" si="4"/>
        <v>M2</v>
      </c>
      <c r="D42" s="5">
        <f t="shared" si="2"/>
        <v>0</v>
      </c>
      <c r="E42" s="5">
        <f t="shared" si="3"/>
        <v>2046</v>
      </c>
      <c r="F42" s="6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081C-5A93-44D9-84FF-98E90A42C31D}">
  <dimension ref="A1:N22"/>
  <sheetViews>
    <sheetView workbookViewId="0">
      <pane ySplit="2" topLeftCell="A3" activePane="bottomLeft" state="frozen"/>
      <selection pane="bottomLeft" activeCell="H6" sqref="H6"/>
    </sheetView>
  </sheetViews>
  <sheetFormatPr defaultRowHeight="15" x14ac:dyDescent="0.25"/>
  <cols>
    <col min="1" max="1" width="1.7109375" customWidth="1"/>
    <col min="3" max="3" width="6.7109375" bestFit="1" customWidth="1"/>
    <col min="4" max="4" width="4.42578125" bestFit="1" customWidth="1"/>
    <col min="6" max="6" width="12.140625" bestFit="1" customWidth="1"/>
    <col min="8" max="8" width="14.140625" bestFit="1" customWidth="1"/>
    <col min="9" max="9" width="12.140625" bestFit="1" customWidth="1"/>
    <col min="10" max="10" width="9.85546875" bestFit="1" customWidth="1"/>
    <col min="11" max="11" width="10.5703125" bestFit="1" customWidth="1"/>
    <col min="12" max="12" width="13.28515625" bestFit="1" customWidth="1"/>
    <col min="13" max="13" width="9.5703125" bestFit="1" customWidth="1"/>
    <col min="14" max="14" width="9.140625" customWidth="1"/>
    <col min="15" max="15" width="59.85546875" customWidth="1"/>
  </cols>
  <sheetData>
    <row r="1" spans="1:14" x14ac:dyDescent="0.25">
      <c r="A1" s="1" t="s">
        <v>16</v>
      </c>
      <c r="B1" s="1"/>
      <c r="C1" s="1"/>
      <c r="D1" s="1"/>
      <c r="E1" s="1"/>
      <c r="F1" s="1"/>
      <c r="G1" s="1"/>
      <c r="H1" s="1" t="s">
        <v>17</v>
      </c>
      <c r="I1" s="1"/>
    </row>
    <row r="2" spans="1:14" x14ac:dyDescent="0.25">
      <c r="B2" s="1" t="s">
        <v>7</v>
      </c>
      <c r="C2" s="1" t="s">
        <v>2</v>
      </c>
      <c r="D2" s="1" t="s">
        <v>3</v>
      </c>
      <c r="E2" s="1" t="s">
        <v>4</v>
      </c>
      <c r="F2" s="1" t="s">
        <v>8</v>
      </c>
      <c r="G2" s="1"/>
      <c r="H2" s="7" t="s">
        <v>13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14</v>
      </c>
    </row>
    <row r="3" spans="1:14" x14ac:dyDescent="0.25">
      <c r="B3" s="5" cm="1">
        <f t="array" ref="B3:B22">_xlfn.SEQUENCE(20,1,1,1)</f>
        <v>1</v>
      </c>
      <c r="C3" t="s">
        <v>5</v>
      </c>
      <c r="D3" s="3"/>
      <c r="E3" s="3">
        <v>2027</v>
      </c>
      <c r="F3" s="4">
        <v>0</v>
      </c>
      <c r="H3" s="6">
        <f>I3*20</f>
        <v>0</v>
      </c>
      <c r="I3" s="8">
        <v>0</v>
      </c>
      <c r="J3" s="10"/>
      <c r="K3" s="11"/>
      <c r="L3" s="10"/>
      <c r="M3" s="12"/>
      <c r="N3" s="9" t="e">
        <f>H3/M3</f>
        <v>#DIV/0!</v>
      </c>
    </row>
    <row r="4" spans="1:14" x14ac:dyDescent="0.25">
      <c r="B4" s="5">
        <v>2</v>
      </c>
      <c r="C4" s="5" t="s">
        <v>6</v>
      </c>
      <c r="D4" s="5">
        <f>D3</f>
        <v>0</v>
      </c>
      <c r="E4" s="5">
        <f>IF(ISEVEN(B4),E3,E3+1)</f>
        <v>2027</v>
      </c>
      <c r="F4" s="6">
        <f>F3</f>
        <v>0</v>
      </c>
      <c r="H4" s="6">
        <f t="shared" ref="H4:H7" si="0">I4*20</f>
        <v>0</v>
      </c>
      <c r="I4" s="8">
        <v>0</v>
      </c>
      <c r="J4" s="10"/>
      <c r="K4" s="11"/>
      <c r="L4" s="10"/>
      <c r="M4" s="12"/>
      <c r="N4" s="9" t="e">
        <f t="shared" ref="N4:N7" si="1">H4/M4</f>
        <v>#DIV/0!</v>
      </c>
    </row>
    <row r="5" spans="1:14" x14ac:dyDescent="0.25">
      <c r="B5" s="5">
        <v>3</v>
      </c>
      <c r="C5" s="5" t="str">
        <f>C3</f>
        <v>M1</v>
      </c>
      <c r="D5" s="5">
        <f t="shared" ref="D5:F22" si="2">D4</f>
        <v>0</v>
      </c>
      <c r="E5" s="5">
        <f t="shared" ref="E5:E22" si="3">IF(ISEVEN(B5),E4,E4+1)</f>
        <v>2028</v>
      </c>
      <c r="F5" s="6">
        <f t="shared" si="2"/>
        <v>0</v>
      </c>
      <c r="H5" s="6">
        <f t="shared" si="0"/>
        <v>0</v>
      </c>
      <c r="I5" s="8">
        <v>0</v>
      </c>
      <c r="J5" s="10"/>
      <c r="K5" s="11"/>
      <c r="L5" s="10"/>
      <c r="M5" s="12"/>
      <c r="N5" s="9" t="e">
        <f t="shared" si="1"/>
        <v>#DIV/0!</v>
      </c>
    </row>
    <row r="6" spans="1:14" x14ac:dyDescent="0.25">
      <c r="B6" s="5">
        <v>4</v>
      </c>
      <c r="C6" s="5" t="str">
        <f t="shared" ref="C6:C22" si="4">C4</f>
        <v>M2</v>
      </c>
      <c r="D6" s="5">
        <f t="shared" si="2"/>
        <v>0</v>
      </c>
      <c r="E6" s="5">
        <f t="shared" si="3"/>
        <v>2028</v>
      </c>
      <c r="F6" s="6">
        <f t="shared" si="2"/>
        <v>0</v>
      </c>
      <c r="H6" s="6">
        <f t="shared" si="0"/>
        <v>0</v>
      </c>
      <c r="I6" s="8">
        <v>0</v>
      </c>
      <c r="J6" s="10"/>
      <c r="K6" s="11"/>
      <c r="L6" s="10"/>
      <c r="M6" s="12"/>
      <c r="N6" s="9" t="e">
        <f t="shared" si="1"/>
        <v>#DIV/0!</v>
      </c>
    </row>
    <row r="7" spans="1:14" x14ac:dyDescent="0.25">
      <c r="B7" s="5">
        <v>5</v>
      </c>
      <c r="C7" s="5" t="str">
        <f t="shared" si="4"/>
        <v>M1</v>
      </c>
      <c r="D7" s="5">
        <f t="shared" si="2"/>
        <v>0</v>
      </c>
      <c r="E7" s="5">
        <f t="shared" si="3"/>
        <v>2029</v>
      </c>
      <c r="F7" s="6">
        <f t="shared" si="2"/>
        <v>0</v>
      </c>
      <c r="H7" s="6">
        <f t="shared" si="0"/>
        <v>0</v>
      </c>
      <c r="I7" s="8">
        <v>0</v>
      </c>
      <c r="J7" s="10"/>
      <c r="K7" s="11"/>
      <c r="L7" s="10"/>
      <c r="M7" s="12"/>
      <c r="N7" s="9" t="e">
        <f t="shared" si="1"/>
        <v>#DIV/0!</v>
      </c>
    </row>
    <row r="8" spans="1:14" ht="15.75" thickBot="1" x14ac:dyDescent="0.3">
      <c r="B8" s="5">
        <v>6</v>
      </c>
      <c r="C8" s="5" t="str">
        <f t="shared" si="4"/>
        <v>M2</v>
      </c>
      <c r="D8" s="5">
        <f t="shared" si="2"/>
        <v>0</v>
      </c>
      <c r="E8" s="5">
        <f t="shared" si="3"/>
        <v>2029</v>
      </c>
      <c r="F8" s="6">
        <f t="shared" si="2"/>
        <v>0</v>
      </c>
      <c r="H8" s="13">
        <f>SUM(H3:H7)</f>
        <v>0</v>
      </c>
      <c r="I8" s="13">
        <f>SUM(I3:I7)</f>
        <v>0</v>
      </c>
    </row>
    <row r="9" spans="1:14" ht="15.75" thickTop="1" x14ac:dyDescent="0.25">
      <c r="B9" s="5">
        <v>7</v>
      </c>
      <c r="C9" s="5" t="str">
        <f t="shared" si="4"/>
        <v>M1</v>
      </c>
      <c r="D9" s="5">
        <f t="shared" si="2"/>
        <v>0</v>
      </c>
      <c r="E9" s="5">
        <f t="shared" si="3"/>
        <v>2030</v>
      </c>
      <c r="F9" s="6">
        <f t="shared" si="2"/>
        <v>0</v>
      </c>
    </row>
    <row r="10" spans="1:14" x14ac:dyDescent="0.25">
      <c r="B10" s="5">
        <v>8</v>
      </c>
      <c r="C10" s="5" t="str">
        <f t="shared" si="4"/>
        <v>M2</v>
      </c>
      <c r="D10" s="5">
        <f t="shared" si="2"/>
        <v>0</v>
      </c>
      <c r="E10" s="5">
        <f t="shared" si="3"/>
        <v>2030</v>
      </c>
      <c r="F10" s="6">
        <f t="shared" si="2"/>
        <v>0</v>
      </c>
    </row>
    <row r="11" spans="1:14" x14ac:dyDescent="0.25">
      <c r="B11" s="5">
        <v>9</v>
      </c>
      <c r="C11" s="5" t="str">
        <f t="shared" si="4"/>
        <v>M1</v>
      </c>
      <c r="D11" s="5">
        <f t="shared" si="2"/>
        <v>0</v>
      </c>
      <c r="E11" s="5">
        <f t="shared" si="3"/>
        <v>2031</v>
      </c>
      <c r="F11" s="6">
        <f t="shared" si="2"/>
        <v>0</v>
      </c>
    </row>
    <row r="12" spans="1:14" x14ac:dyDescent="0.25">
      <c r="B12" s="5">
        <v>10</v>
      </c>
      <c r="C12" s="5" t="str">
        <f t="shared" si="4"/>
        <v>M2</v>
      </c>
      <c r="D12" s="5">
        <f t="shared" si="2"/>
        <v>0</v>
      </c>
      <c r="E12" s="5">
        <f t="shared" si="3"/>
        <v>2031</v>
      </c>
      <c r="F12" s="6">
        <f t="shared" si="2"/>
        <v>0</v>
      </c>
    </row>
    <row r="13" spans="1:14" x14ac:dyDescent="0.25">
      <c r="B13" s="5">
        <v>11</v>
      </c>
      <c r="C13" s="5" t="str">
        <f t="shared" si="4"/>
        <v>M1</v>
      </c>
      <c r="D13" s="5">
        <f t="shared" si="2"/>
        <v>0</v>
      </c>
      <c r="E13" s="5">
        <f t="shared" si="3"/>
        <v>2032</v>
      </c>
      <c r="F13" s="6">
        <f t="shared" si="2"/>
        <v>0</v>
      </c>
    </row>
    <row r="14" spans="1:14" x14ac:dyDescent="0.25">
      <c r="B14" s="5">
        <v>12</v>
      </c>
      <c r="C14" s="5" t="str">
        <f t="shared" si="4"/>
        <v>M2</v>
      </c>
      <c r="D14" s="5">
        <f t="shared" si="2"/>
        <v>0</v>
      </c>
      <c r="E14" s="5">
        <f t="shared" si="3"/>
        <v>2032</v>
      </c>
      <c r="F14" s="6">
        <f t="shared" si="2"/>
        <v>0</v>
      </c>
    </row>
    <row r="15" spans="1:14" x14ac:dyDescent="0.25">
      <c r="B15" s="5">
        <v>13</v>
      </c>
      <c r="C15" s="5" t="str">
        <f t="shared" si="4"/>
        <v>M1</v>
      </c>
      <c r="D15" s="5">
        <f t="shared" si="2"/>
        <v>0</v>
      </c>
      <c r="E15" s="5">
        <f t="shared" si="3"/>
        <v>2033</v>
      </c>
      <c r="F15" s="6">
        <f t="shared" si="2"/>
        <v>0</v>
      </c>
    </row>
    <row r="16" spans="1:14" x14ac:dyDescent="0.25">
      <c r="B16" s="5">
        <v>14</v>
      </c>
      <c r="C16" s="5" t="str">
        <f t="shared" si="4"/>
        <v>M2</v>
      </c>
      <c r="D16" s="5">
        <f t="shared" si="2"/>
        <v>0</v>
      </c>
      <c r="E16" s="5">
        <f t="shared" si="3"/>
        <v>2033</v>
      </c>
      <c r="F16" s="6">
        <f t="shared" si="2"/>
        <v>0</v>
      </c>
    </row>
    <row r="17" spans="2:6" x14ac:dyDescent="0.25">
      <c r="B17" s="5">
        <v>15</v>
      </c>
      <c r="C17" s="5" t="str">
        <f t="shared" si="4"/>
        <v>M1</v>
      </c>
      <c r="D17" s="5">
        <f t="shared" si="2"/>
        <v>0</v>
      </c>
      <c r="E17" s="5">
        <f t="shared" si="3"/>
        <v>2034</v>
      </c>
      <c r="F17" s="6">
        <f t="shared" si="2"/>
        <v>0</v>
      </c>
    </row>
    <row r="18" spans="2:6" x14ac:dyDescent="0.25">
      <c r="B18" s="5">
        <v>16</v>
      </c>
      <c r="C18" s="5" t="str">
        <f t="shared" si="4"/>
        <v>M2</v>
      </c>
      <c r="D18" s="5">
        <f t="shared" si="2"/>
        <v>0</v>
      </c>
      <c r="E18" s="5">
        <f t="shared" si="3"/>
        <v>2034</v>
      </c>
      <c r="F18" s="6">
        <f t="shared" si="2"/>
        <v>0</v>
      </c>
    </row>
    <row r="19" spans="2:6" x14ac:dyDescent="0.25">
      <c r="B19" s="5">
        <v>17</v>
      </c>
      <c r="C19" s="5" t="str">
        <f t="shared" si="4"/>
        <v>M1</v>
      </c>
      <c r="D19" s="5">
        <f t="shared" si="2"/>
        <v>0</v>
      </c>
      <c r="E19" s="5">
        <f t="shared" si="3"/>
        <v>2035</v>
      </c>
      <c r="F19" s="6">
        <f t="shared" si="2"/>
        <v>0</v>
      </c>
    </row>
    <row r="20" spans="2:6" x14ac:dyDescent="0.25">
      <c r="B20" s="5">
        <v>18</v>
      </c>
      <c r="C20" s="5" t="str">
        <f t="shared" si="4"/>
        <v>M2</v>
      </c>
      <c r="D20" s="5">
        <f t="shared" si="2"/>
        <v>0</v>
      </c>
      <c r="E20" s="5">
        <f t="shared" si="3"/>
        <v>2035</v>
      </c>
      <c r="F20" s="6">
        <f t="shared" si="2"/>
        <v>0</v>
      </c>
    </row>
    <row r="21" spans="2:6" x14ac:dyDescent="0.25">
      <c r="B21" s="5">
        <v>19</v>
      </c>
      <c r="C21" s="5" t="str">
        <f t="shared" si="4"/>
        <v>M1</v>
      </c>
      <c r="D21" s="5">
        <f t="shared" si="2"/>
        <v>0</v>
      </c>
      <c r="E21" s="5">
        <f t="shared" si="3"/>
        <v>2036</v>
      </c>
      <c r="F21" s="6">
        <f t="shared" si="2"/>
        <v>0</v>
      </c>
    </row>
    <row r="22" spans="2:6" x14ac:dyDescent="0.25">
      <c r="B22" s="5">
        <v>20</v>
      </c>
      <c r="C22" s="5" t="str">
        <f t="shared" si="4"/>
        <v>M2</v>
      </c>
      <c r="D22" s="5">
        <f t="shared" si="2"/>
        <v>0</v>
      </c>
      <c r="E22" s="5">
        <f t="shared" si="3"/>
        <v>2036</v>
      </c>
      <c r="F22" s="6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Year</vt:lpstr>
      <vt:lpstr>20 Year</vt:lpstr>
      <vt:lpstr>10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Lowerr</dc:creator>
  <cp:lastModifiedBy>Matthew Lowerr</cp:lastModifiedBy>
  <dcterms:created xsi:type="dcterms:W3CDTF">2026-08-16T22:00:22Z</dcterms:created>
  <dcterms:modified xsi:type="dcterms:W3CDTF">2026-08-16T22:22:46Z</dcterms:modified>
</cp:coreProperties>
</file>